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Gantt Visual" sheetId="1" state="visible" r:id="rId1"/>
    <sheet xmlns:r="http://schemas.openxmlformats.org/officeDocument/2006/relationships" name="2 - Indicadores Semana" sheetId="2" state="visible" r:id="rId2"/>
    <sheet xmlns:r="http://schemas.openxmlformats.org/officeDocument/2006/relationships" name="3 - Adopcion Equipo" sheetId="3" state="visible" r:id="rId3"/>
    <sheet xmlns:r="http://schemas.openxmlformats.org/officeDocument/2006/relationships" name="4 - Proyeccion 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&quot; COP&quot;"/>
    <numFmt numFmtId="166" formatCode="0&quot; días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C9973A"/>
      <sz val="11"/>
    </font>
    <font>
      <name val="Calibri"/>
      <b val="1"/>
      <color rgb="00222222"/>
      <sz val="10"/>
    </font>
    <font>
      <name val="Calibri"/>
      <color rgb="00222222"/>
      <sz val="10"/>
    </font>
    <font>
      <name val="Calibri"/>
      <color rgb="00C9973A"/>
      <sz val="10"/>
    </font>
    <font>
      <name val="Calibri"/>
      <i val="1"/>
      <color rgb="00444444"/>
      <sz val="9"/>
    </font>
    <font>
      <name val="Calibri"/>
      <color rgb="00D6E4F0"/>
      <sz val="10"/>
    </font>
    <font>
      <name val="Calibri"/>
      <color rgb="004A90D9"/>
      <sz val="10"/>
    </font>
    <font>
      <name val="Calibri"/>
      <b val="1"/>
      <color rgb="001A2B4A"/>
      <sz val="10"/>
    </font>
    <font>
      <name val="Calibri"/>
      <b val="1"/>
      <color rgb="00C9973A"/>
      <sz val="10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color rgb="00FFFFFF"/>
      <sz val="10"/>
    </font>
    <font>
      <name val="Calibri"/>
      <b val="1"/>
      <color rgb="00FFFFFF"/>
      <sz val="16"/>
    </font>
    <font>
      <name val="Calibri"/>
      <b val="1"/>
      <color rgb="001A2B4A"/>
      <sz val="12"/>
    </font>
    <font>
      <name val="Calibri"/>
      <b val="1"/>
      <color rgb="00C0392B"/>
      <sz val="10"/>
    </font>
    <font>
      <name val="Calibri"/>
      <b val="1"/>
      <color rgb="0027AE60"/>
      <sz val="12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C9973A"/>
      </patternFill>
    </fill>
    <fill>
      <patternFill patternType="solid">
        <fgColor rgb="00F8F8F8"/>
      </patternFill>
    </fill>
    <fill>
      <patternFill patternType="solid">
        <fgColor rgb="00D6E4F0"/>
      </patternFill>
    </fill>
    <fill>
      <patternFill patternType="solid">
        <fgColor rgb="004A90D9"/>
      </patternFill>
    </fill>
    <fill>
      <patternFill patternType="solid">
        <fgColor rgb="00FFF9E6"/>
      </patternFill>
    </fill>
    <fill>
      <patternFill patternType="solid">
        <fgColor rgb="00F5F5F5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27AE6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0" fillId="4" borderId="2" pivotButton="0" quotePrefix="0" xfId="0"/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9" fontId="6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6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165" fontId="1" fillId="11" borderId="1" applyAlignment="1" pivotButton="0" quotePrefix="0" xfId="0">
      <alignment horizontal="center" vertical="center"/>
    </xf>
    <xf numFmtId="164" fontId="17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166" fontId="17" fillId="8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</cols>
  <sheetData>
    <row r="1" ht="36" customHeight="1">
      <c r="A1" s="1" t="inlineStr">
        <is>
          <t>PLAN DE TRABAJO — 8 SEMANAS | SISTEMA COMERCIAL OPERATIVO</t>
        </is>
      </c>
    </row>
    <row r="2" ht="20" customHeight="1">
      <c r="A2" s="2" t="inlineStr">
        <is>
          <t>León López Consultoría | Empresa: _____________________ | Inicio: _____________</t>
        </is>
      </c>
    </row>
    <row r="3" ht="8" customHeight="1"/>
    <row r="4" ht="24" customHeight="1">
      <c r="A4" s="3" t="inlineStr">
        <is>
          <t>RESPONSABLE</t>
        </is>
      </c>
      <c r="B4" s="3" t="inlineStr">
        <is>
          <t>ACTIVIDAD</t>
        </is>
      </c>
      <c r="C4" s="3" t="inlineStr">
        <is>
          <t>%</t>
        </is>
      </c>
      <c r="D4" s="3" t="inlineStr">
        <is>
          <t>SEM 1</t>
        </is>
      </c>
      <c r="E4" s="3" t="inlineStr">
        <is>
          <t>SEM 2</t>
        </is>
      </c>
      <c r="F4" s="3" t="inlineStr">
        <is>
          <t>SEM 3</t>
        </is>
      </c>
      <c r="G4" s="3" t="inlineStr">
        <is>
          <t>SEM 4</t>
        </is>
      </c>
      <c r="H4" s="3" t="inlineStr">
        <is>
          <t>SEM 5</t>
        </is>
      </c>
      <c r="I4" s="3" t="inlineStr">
        <is>
          <t>SEM 6</t>
        </is>
      </c>
      <c r="J4" s="3" t="inlineStr">
        <is>
          <t>SEM 7</t>
        </is>
      </c>
      <c r="K4" s="3" t="inlineStr">
        <is>
          <t>SEM 8</t>
        </is>
      </c>
      <c r="L4" s="3" t="inlineStr">
        <is>
          <t>ENTREGABLE</t>
        </is>
      </c>
    </row>
    <row r="5" ht="22" customHeight="1">
      <c r="A5" s="4" t="inlineStr">
        <is>
          <t>PILAR 1 — DIAGNÓSTICO</t>
        </is>
      </c>
    </row>
    <row r="6" ht="22" customHeight="1">
      <c r="A6" s="5" t="inlineStr">
        <is>
          <t>León López</t>
        </is>
      </c>
      <c r="B6" s="6" t="inlineStr">
        <is>
          <t>Sesión de diagnóstico (60–90 min)</t>
        </is>
      </c>
      <c r="C6" s="7" t="n">
        <v>0</v>
      </c>
      <c r="D6" s="8" t="inlineStr">
        <is>
          <t>■</t>
        </is>
      </c>
      <c r="E6" s="9" t="n"/>
      <c r="F6" s="9" t="n"/>
      <c r="G6" s="9" t="n"/>
      <c r="H6" s="9" t="n"/>
      <c r="I6" s="9" t="n"/>
      <c r="J6" s="9" t="n"/>
      <c r="K6" s="9" t="n"/>
      <c r="L6" s="10" t="inlineStr">
        <is>
          <t>Cuestionario diligenciado</t>
        </is>
      </c>
    </row>
    <row r="7" ht="22" customHeight="1">
      <c r="A7" s="5" t="inlineStr">
        <is>
          <t>León López</t>
        </is>
      </c>
      <c r="B7" s="6" t="inlineStr">
        <is>
          <t>Análisis de datos + calculadora</t>
        </is>
      </c>
      <c r="C7" s="7" t="n">
        <v>0</v>
      </c>
      <c r="D7" s="8" t="inlineStr">
        <is>
          <t>■</t>
        </is>
      </c>
      <c r="E7" s="8" t="inlineStr">
        <is>
          <t>■</t>
        </is>
      </c>
      <c r="F7" s="9" t="n"/>
      <c r="G7" s="9" t="n"/>
      <c r="H7" s="9" t="n"/>
      <c r="I7" s="9" t="n"/>
      <c r="J7" s="9" t="n"/>
      <c r="K7" s="9" t="n"/>
      <c r="L7" s="10" t="inlineStr">
        <is>
          <t>Calculadora de oportunidad</t>
        </is>
      </c>
    </row>
    <row r="8" ht="22" customHeight="1">
      <c r="A8" s="5" t="inlineStr">
        <is>
          <t>León López</t>
        </is>
      </c>
      <c r="B8" s="6" t="inlineStr">
        <is>
          <t>Elaboración del informe de diagnóstico</t>
        </is>
      </c>
      <c r="C8" s="7" t="n">
        <v>0</v>
      </c>
      <c r="D8" s="9" t="n"/>
      <c r="E8" s="8" t="inlineStr">
        <is>
          <t>■</t>
        </is>
      </c>
      <c r="F8" s="9" t="n"/>
      <c r="G8" s="9" t="n"/>
      <c r="H8" s="9" t="n"/>
      <c r="I8" s="9" t="n"/>
      <c r="J8" s="9" t="n"/>
      <c r="K8" s="9" t="n"/>
      <c r="L8" s="10" t="inlineStr">
        <is>
          <t>Informe diagnóstico .docx</t>
        </is>
      </c>
    </row>
    <row r="9" ht="22" customHeight="1">
      <c r="A9" s="11" t="inlineStr">
        <is>
          <t>Dueño / CEO</t>
        </is>
      </c>
      <c r="B9" s="6" t="inlineStr">
        <is>
          <t>Revisión y firma del informe</t>
        </is>
      </c>
      <c r="C9" s="7" t="n">
        <v>0</v>
      </c>
      <c r="D9" s="9" t="n"/>
      <c r="E9" s="12" t="inlineStr">
        <is>
          <t>■</t>
        </is>
      </c>
      <c r="F9" s="9" t="n"/>
      <c r="G9" s="9" t="n"/>
      <c r="H9" s="9" t="n"/>
      <c r="I9" s="9" t="n"/>
      <c r="J9" s="9" t="n"/>
      <c r="K9" s="9" t="n"/>
      <c r="L9" s="10" t="inlineStr">
        <is>
          <t>Firma de autorización</t>
        </is>
      </c>
    </row>
    <row r="10" ht="22" customHeight="1">
      <c r="A10" s="4" t="inlineStr">
        <is>
          <t>PILAR 2 — IMPLEMENTACIÓN</t>
        </is>
      </c>
    </row>
    <row r="11" ht="22" customHeight="1">
      <c r="A11" s="5" t="inlineStr">
        <is>
          <t>León López</t>
        </is>
      </c>
      <c r="B11" s="6" t="inlineStr">
        <is>
          <t>Mapeo proceso actual (AS-IS)</t>
        </is>
      </c>
      <c r="C11" s="7" t="n">
        <v>0</v>
      </c>
      <c r="D11" s="9" t="n"/>
      <c r="E11" s="9" t="n"/>
      <c r="F11" s="8" t="inlineStr">
        <is>
          <t>■</t>
        </is>
      </c>
      <c r="G11" s="9" t="n"/>
      <c r="H11" s="9" t="n"/>
      <c r="I11" s="9" t="n"/>
      <c r="J11" s="9" t="n"/>
      <c r="K11" s="9" t="n"/>
      <c r="L11" s="10" t="inlineStr">
        <is>
          <t>Mapa AS-IS</t>
        </is>
      </c>
    </row>
    <row r="12" ht="22" customHeight="1">
      <c r="A12" s="5" t="inlineStr">
        <is>
          <t>León López</t>
        </is>
      </c>
      <c r="B12" s="6" t="inlineStr">
        <is>
          <t>Diseño proceso nuevo (TO-BE)</t>
        </is>
      </c>
      <c r="C12" s="7" t="n">
        <v>0</v>
      </c>
      <c r="D12" s="9" t="n"/>
      <c r="E12" s="9" t="n"/>
      <c r="F12" s="8" t="inlineStr">
        <is>
          <t>■</t>
        </is>
      </c>
      <c r="G12" s="9" t="n"/>
      <c r="H12" s="9" t="n"/>
      <c r="I12" s="9" t="n"/>
      <c r="J12" s="9" t="n"/>
      <c r="K12" s="9" t="n"/>
      <c r="L12" s="10" t="inlineStr">
        <is>
          <t>Proceso TO-BE documentado</t>
        </is>
      </c>
    </row>
    <row r="13" ht="22" customHeight="1">
      <c r="A13" s="11" t="inlineStr">
        <is>
          <t>Dueño / CEO</t>
        </is>
      </c>
      <c r="B13" s="6" t="inlineStr">
        <is>
          <t>Revisión y aprobación del proceso</t>
        </is>
      </c>
      <c r="C13" s="7" t="n">
        <v>0</v>
      </c>
      <c r="D13" s="9" t="n"/>
      <c r="E13" s="9" t="n"/>
      <c r="F13" s="12" t="inlineStr">
        <is>
          <t>■</t>
        </is>
      </c>
      <c r="G13" s="9" t="n"/>
      <c r="H13" s="9" t="n"/>
      <c r="I13" s="9" t="n"/>
      <c r="J13" s="9" t="n"/>
      <c r="K13" s="9" t="n"/>
      <c r="L13" s="10" t="inlineStr">
        <is>
          <t>Aprobación firmada</t>
        </is>
      </c>
    </row>
    <row r="14" ht="22" customHeight="1">
      <c r="A14" s="5" t="inlineStr">
        <is>
          <t>León López</t>
        </is>
      </c>
      <c r="B14" s="6" t="inlineStr">
        <is>
          <t>Configuración CRM GoHighLevel</t>
        </is>
      </c>
      <c r="C14" s="7" t="n">
        <v>0</v>
      </c>
      <c r="D14" s="9" t="n"/>
      <c r="E14" s="9" t="n"/>
      <c r="F14" s="9" t="n"/>
      <c r="G14" s="8" t="inlineStr">
        <is>
          <t>■</t>
        </is>
      </c>
      <c r="H14" s="9" t="n"/>
      <c r="I14" s="9" t="n"/>
      <c r="J14" s="9" t="n"/>
      <c r="K14" s="9" t="n"/>
      <c r="L14" s="10" t="inlineStr">
        <is>
          <t>CRM activo</t>
        </is>
      </c>
    </row>
    <row r="15" ht="22" customHeight="1">
      <c r="A15" s="5" t="inlineStr">
        <is>
          <t>León López</t>
        </is>
      </c>
      <c r="B15" s="6" t="inlineStr">
        <is>
          <t>Integración WhatsApp + automatizaciones</t>
        </is>
      </c>
      <c r="C15" s="7" t="n">
        <v>0</v>
      </c>
      <c r="D15" s="9" t="n"/>
      <c r="E15" s="9" t="n"/>
      <c r="F15" s="9" t="n"/>
      <c r="G15" s="8" t="inlineStr">
        <is>
          <t>■</t>
        </is>
      </c>
      <c r="H15" s="9" t="n"/>
      <c r="I15" s="9" t="n"/>
      <c r="J15" s="9" t="n"/>
      <c r="K15" s="9" t="n"/>
      <c r="L15" s="10" t="inlineStr">
        <is>
          <t>Automatizaciones activas</t>
        </is>
      </c>
    </row>
    <row r="16" ht="22" customHeight="1">
      <c r="A16" s="5" t="inlineStr">
        <is>
          <t>León López</t>
        </is>
      </c>
      <c r="B16" s="6" t="inlineStr">
        <is>
          <t>Diseño y activación del dashboard</t>
        </is>
      </c>
      <c r="C16" s="7" t="n">
        <v>0</v>
      </c>
      <c r="D16" s="9" t="n"/>
      <c r="E16" s="9" t="n"/>
      <c r="F16" s="9" t="n"/>
      <c r="G16" s="9" t="n"/>
      <c r="H16" s="9" t="n"/>
      <c r="I16" s="8" t="inlineStr">
        <is>
          <t>■</t>
        </is>
      </c>
      <c r="J16" s="9" t="n"/>
      <c r="K16" s="9" t="n"/>
      <c r="L16" s="10" t="inlineStr">
        <is>
          <t>Dashboard Lovable</t>
        </is>
      </c>
    </row>
    <row r="17" ht="22" customHeight="1">
      <c r="A17" s="11" t="inlineStr">
        <is>
          <t>Equipo Cliente</t>
        </is>
      </c>
      <c r="B17" s="6" t="inlineStr">
        <is>
          <t>Definición de metas con equipo</t>
        </is>
      </c>
      <c r="C17" s="7" t="n">
        <v>0</v>
      </c>
      <c r="D17" s="9" t="n"/>
      <c r="E17" s="9" t="n"/>
      <c r="F17" s="9" t="n"/>
      <c r="G17" s="9" t="n"/>
      <c r="H17" s="13" t="inlineStr">
        <is>
          <t>■</t>
        </is>
      </c>
      <c r="I17" s="9" t="n"/>
      <c r="J17" s="9" t="n"/>
      <c r="K17" s="9" t="n"/>
      <c r="L17" s="10" t="inlineStr">
        <is>
          <t>Acuerdos de desempeño</t>
        </is>
      </c>
    </row>
    <row r="18" ht="22" customHeight="1">
      <c r="A18" s="5" t="inlineStr">
        <is>
          <t>León López</t>
        </is>
      </c>
      <c r="B18" s="6" t="inlineStr">
        <is>
          <t>Capacitación del equipo (90 min)</t>
        </is>
      </c>
      <c r="C18" s="7" t="n">
        <v>0</v>
      </c>
      <c r="D18" s="9" t="n"/>
      <c r="E18" s="9" t="n"/>
      <c r="F18" s="9" t="n"/>
      <c r="G18" s="9" t="n"/>
      <c r="H18" s="9" t="n"/>
      <c r="I18" s="9" t="n"/>
      <c r="J18" s="8" t="inlineStr">
        <is>
          <t>■</t>
        </is>
      </c>
      <c r="K18" s="9" t="n"/>
      <c r="L18" s="10" t="inlineStr">
        <is>
          <t>Firmas de capacitación</t>
        </is>
      </c>
    </row>
    <row r="19" ht="22" customHeight="1">
      <c r="A19" s="5" t="inlineStr">
        <is>
          <t>León López</t>
        </is>
      </c>
      <c r="B19" s="6" t="inlineStr">
        <is>
          <t>Pruebas finales y ajustes</t>
        </is>
      </c>
      <c r="C19" s="7" t="n">
        <v>0</v>
      </c>
      <c r="D19" s="9" t="n"/>
      <c r="E19" s="9" t="n"/>
      <c r="F19" s="9" t="n"/>
      <c r="G19" s="9" t="n"/>
      <c r="H19" s="9" t="n"/>
      <c r="I19" s="9" t="n"/>
      <c r="J19" s="9" t="n"/>
      <c r="K19" s="8" t="inlineStr">
        <is>
          <t>■</t>
        </is>
      </c>
      <c r="L19" s="10" t="inlineStr"/>
    </row>
    <row r="20" ht="22" customHeight="1">
      <c r="A20" s="11" t="inlineStr">
        <is>
          <t>Dueño / CEO</t>
        </is>
      </c>
      <c r="B20" s="6" t="inlineStr">
        <is>
          <t>Revisión final + firma de entrega</t>
        </is>
      </c>
      <c r="C20" s="7" t="n">
        <v>0</v>
      </c>
      <c r="D20" s="9" t="n"/>
      <c r="E20" s="9" t="n"/>
      <c r="F20" s="9" t="n"/>
      <c r="G20" s="9" t="n"/>
      <c r="H20" s="9" t="n"/>
      <c r="I20" s="9" t="n"/>
      <c r="J20" s="9" t="n"/>
      <c r="K20" s="12" t="inlineStr">
        <is>
          <t>■</t>
        </is>
      </c>
      <c r="L20" s="10" t="inlineStr">
        <is>
          <t>Acta de entrega</t>
        </is>
      </c>
    </row>
    <row r="21" ht="22" customHeight="1">
      <c r="A21" s="4" t="inlineStr">
        <is>
          <t>PILAR 3 — EJECUCIÓN</t>
        </is>
      </c>
    </row>
    <row r="22" ht="22" customHeight="1">
      <c r="A22" s="5" t="inlineStr">
        <is>
          <t>León López</t>
        </is>
      </c>
      <c r="B22" s="6" t="inlineStr">
        <is>
          <t>Reuniones semanales de métricas</t>
        </is>
      </c>
      <c r="C22" s="7" t="n">
        <v>0</v>
      </c>
      <c r="D22" s="9" t="n"/>
      <c r="E22" s="9" t="n"/>
      <c r="F22" s="8" t="inlineStr">
        <is>
          <t>■</t>
        </is>
      </c>
      <c r="G22" s="8" t="inlineStr">
        <is>
          <t>■</t>
        </is>
      </c>
      <c r="H22" s="8" t="inlineStr">
        <is>
          <t>■</t>
        </is>
      </c>
      <c r="I22" s="8" t="inlineStr">
        <is>
          <t>■</t>
        </is>
      </c>
      <c r="J22" s="8" t="inlineStr">
        <is>
          <t>■</t>
        </is>
      </c>
      <c r="K22" s="8" t="inlineStr">
        <is>
          <t>■</t>
        </is>
      </c>
      <c r="L22" s="10" t="inlineStr">
        <is>
          <t>Notas de reunión semanal</t>
        </is>
      </c>
    </row>
    <row r="23" ht="22" customHeight="1">
      <c r="A23" s="11" t="inlineStr">
        <is>
          <t>Equipo Cliente</t>
        </is>
      </c>
      <c r="B23" s="6" t="inlineStr">
        <is>
          <t>Registro diario en CRM</t>
        </is>
      </c>
      <c r="C23" s="7" t="n">
        <v>0</v>
      </c>
      <c r="D23" s="9" t="n"/>
      <c r="E23" s="9" t="n"/>
      <c r="F23" s="9" t="n"/>
      <c r="G23" s="13" t="inlineStr">
        <is>
          <t>■</t>
        </is>
      </c>
      <c r="H23" s="13" t="inlineStr">
        <is>
          <t>■</t>
        </is>
      </c>
      <c r="I23" s="13" t="inlineStr">
        <is>
          <t>■</t>
        </is>
      </c>
      <c r="J23" s="13" t="inlineStr">
        <is>
          <t>■</t>
        </is>
      </c>
      <c r="K23" s="13" t="inlineStr">
        <is>
          <t>■</t>
        </is>
      </c>
      <c r="L23" s="10" t="inlineStr">
        <is>
          <t>Datos en el sistema</t>
        </is>
      </c>
    </row>
    <row r="24" ht="22" customHeight="1">
      <c r="A24" s="11" t="inlineStr">
        <is>
          <t>Dueño / CEO</t>
        </is>
      </c>
      <c r="B24" s="6" t="inlineStr">
        <is>
          <t>Revisión del dashboard (5 min/día)</t>
        </is>
      </c>
      <c r="C24" s="7" t="n">
        <v>0</v>
      </c>
      <c r="D24" s="9" t="n"/>
      <c r="E24" s="9" t="n"/>
      <c r="F24" s="9" t="n"/>
      <c r="G24" s="9" t="n"/>
      <c r="H24" s="9" t="n"/>
      <c r="I24" s="12" t="inlineStr">
        <is>
          <t>■</t>
        </is>
      </c>
      <c r="J24" s="12" t="inlineStr">
        <is>
          <t>■</t>
        </is>
      </c>
      <c r="K24" s="12" t="inlineStr">
        <is>
          <t>■</t>
        </is>
      </c>
      <c r="L24" s="10" t="inlineStr"/>
    </row>
    <row r="25" ht="22" customHeight="1">
      <c r="A25" s="4" t="inlineStr">
        <is>
          <t>PILAR 4 — SOCIALIZACIÓN</t>
        </is>
      </c>
    </row>
    <row r="26" ht="22" customHeight="1">
      <c r="A26" s="5" t="inlineStr">
        <is>
          <t>León López</t>
        </is>
      </c>
      <c r="B26" s="6" t="inlineStr">
        <is>
          <t>Kit de lanzamiento al equipo</t>
        </is>
      </c>
      <c r="C26" s="7" t="n">
        <v>0</v>
      </c>
      <c r="D26" s="9" t="n"/>
      <c r="E26" s="9" t="n"/>
      <c r="F26" s="9" t="n"/>
      <c r="G26" s="9" t="n"/>
      <c r="H26" s="9" t="n"/>
      <c r="I26" s="9" t="n"/>
      <c r="J26" s="8" t="inlineStr">
        <is>
          <t>■</t>
        </is>
      </c>
      <c r="K26" s="9" t="n"/>
      <c r="L26" s="10" t="inlineStr">
        <is>
          <t>Kit de comunicación interna</t>
        </is>
      </c>
    </row>
    <row r="27" ht="22" customHeight="1">
      <c r="A27" s="11" t="inlineStr">
        <is>
          <t>Dueño / CEO</t>
        </is>
      </c>
      <c r="B27" s="6" t="inlineStr">
        <is>
          <t>Carta al equipo + reunión de lanzamiento</t>
        </is>
      </c>
      <c r="C27" s="7" t="n">
        <v>0</v>
      </c>
      <c r="D27" s="9" t="n"/>
      <c r="E27" s="9" t="n"/>
      <c r="F27" s="9" t="n"/>
      <c r="G27" s="9" t="n"/>
      <c r="H27" s="9" t="n"/>
      <c r="I27" s="9" t="n"/>
      <c r="J27" s="12" t="inlineStr">
        <is>
          <t>■</t>
        </is>
      </c>
      <c r="K27" s="9" t="n"/>
      <c r="L27" s="10" t="inlineStr"/>
    </row>
    <row r="28" ht="22" customHeight="1">
      <c r="A28" s="5" t="inlineStr">
        <is>
          <t>León López</t>
        </is>
      </c>
      <c r="B28" s="6" t="inlineStr">
        <is>
          <t>Entrega manual del dueño</t>
        </is>
      </c>
      <c r="C28" s="7" t="n">
        <v>0</v>
      </c>
      <c r="D28" s="9" t="n"/>
      <c r="E28" s="9" t="n"/>
      <c r="F28" s="9" t="n"/>
      <c r="G28" s="9" t="n"/>
      <c r="H28" s="9" t="n"/>
      <c r="I28" s="9" t="n"/>
      <c r="J28" s="9" t="n"/>
      <c r="K28" s="8" t="inlineStr">
        <is>
          <t>■</t>
        </is>
      </c>
      <c r="L28" s="10" t="inlineStr">
        <is>
          <t>Manual del dueño</t>
        </is>
      </c>
    </row>
    <row r="29" ht="22" customHeight="1">
      <c r="A29" s="5" t="inlineStr">
        <is>
          <t>León López</t>
        </is>
      </c>
      <c r="B29" s="6" t="inlineStr">
        <is>
          <t>Primer reporte mensual</t>
        </is>
      </c>
      <c r="C29" s="7" t="n">
        <v>0</v>
      </c>
      <c r="D29" s="9" t="n"/>
      <c r="E29" s="9" t="n"/>
      <c r="F29" s="9" t="n"/>
      <c r="G29" s="9" t="n"/>
      <c r="H29" s="9" t="n"/>
      <c r="I29" s="9" t="n"/>
      <c r="J29" s="9" t="n"/>
      <c r="K29" s="8" t="inlineStr">
        <is>
          <t>■</t>
        </is>
      </c>
      <c r="L29" s="10" t="inlineStr">
        <is>
          <t>Reporte mensual template</t>
        </is>
      </c>
    </row>
    <row r="31">
      <c r="A31" s="14" t="inlineStr">
        <is>
          <t>LEYENDA:</t>
        </is>
      </c>
      <c r="B31" s="15" t="inlineStr">
        <is>
          <t>■ León López</t>
        </is>
      </c>
      <c r="C31" s="16" t="inlineStr">
        <is>
          <t>■ Equipo Cliente</t>
        </is>
      </c>
      <c r="D31" s="17" t="inlineStr">
        <is>
          <t>■ Dueño/CEO</t>
        </is>
      </c>
    </row>
  </sheetData>
  <mergeCells count="6">
    <mergeCell ref="A2:L2"/>
    <mergeCell ref="A10:L10"/>
    <mergeCell ref="A25:L25"/>
    <mergeCell ref="A1:L1"/>
    <mergeCell ref="A5:L5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30" customWidth="1" min="8" max="8"/>
  </cols>
  <sheetData>
    <row r="1" ht="36" customHeight="1">
      <c r="A1" s="1" t="inlineStr">
        <is>
          <t>DASHBOARD DE INDICADORES — SEMANA A SEMANA</t>
        </is>
      </c>
    </row>
    <row r="2" ht="20" customHeight="1">
      <c r="A2" s="2" t="inlineStr">
        <is>
          <t>Complete los datos al final de cada semana. Los campos en amarillo son editables.</t>
        </is>
      </c>
    </row>
    <row r="3" ht="35" customHeight="1">
      <c r="A3" s="18" t="inlineStr">
        <is>
          <t>SEMANA</t>
        </is>
      </c>
      <c r="B3" s="18" t="inlineStr">
        <is>
          <t>Conv. Recibidas
(total)</t>
        </is>
      </c>
      <c r="C3" s="18" t="inlineStr">
        <is>
          <t>Conv. Atendidas
(resp. &lt;30min)</t>
        </is>
      </c>
      <c r="D3" s="18" t="inlineStr">
        <is>
          <t>% Respuesta</t>
        </is>
      </c>
      <c r="E3" s="18" t="inlineStr">
        <is>
          <t>Leads → Propuesta</t>
        </is>
      </c>
      <c r="F3" s="18" t="inlineStr">
        <is>
          <t>Ventas
Realizadas</t>
        </is>
      </c>
      <c r="G3" s="18" t="inlineStr">
        <is>
          <t>Meta
Semana</t>
        </is>
      </c>
      <c r="H3" s="18" t="inlineStr">
        <is>
          <t>Observaciones León</t>
        </is>
      </c>
    </row>
    <row r="4" ht="28" customHeight="1">
      <c r="A4" s="19" t="inlineStr">
        <is>
          <t>Semana 1</t>
        </is>
      </c>
      <c r="B4" s="20" t="n"/>
      <c r="C4" s="20" t="n"/>
      <c r="D4" s="21">
        <f>IFERROR(C4/B4,0)</f>
        <v/>
      </c>
      <c r="E4" s="20" t="n"/>
      <c r="F4" s="20" t="n"/>
      <c r="G4" s="20" t="n"/>
      <c r="H4" s="22" t="n"/>
    </row>
    <row r="5" ht="28" customHeight="1">
      <c r="A5" s="19" t="inlineStr">
        <is>
          <t>Semana 2</t>
        </is>
      </c>
      <c r="B5" s="20" t="n"/>
      <c r="C5" s="20" t="n"/>
      <c r="D5" s="21">
        <f>IFERROR(C5/B5,0)</f>
        <v/>
      </c>
      <c r="E5" s="20" t="n"/>
      <c r="F5" s="20" t="n"/>
      <c r="G5" s="20" t="n"/>
      <c r="H5" s="22" t="n"/>
    </row>
    <row r="6" ht="28" customHeight="1">
      <c r="A6" s="19" t="inlineStr">
        <is>
          <t>Semana 3</t>
        </is>
      </c>
      <c r="B6" s="20" t="n"/>
      <c r="C6" s="20" t="n"/>
      <c r="D6" s="21">
        <f>IFERROR(C6/B6,0)</f>
        <v/>
      </c>
      <c r="E6" s="20" t="n"/>
      <c r="F6" s="20" t="n"/>
      <c r="G6" s="20" t="n"/>
      <c r="H6" s="22" t="n"/>
    </row>
    <row r="7" ht="28" customHeight="1">
      <c r="A7" s="19" t="inlineStr">
        <is>
          <t>Semana 4</t>
        </is>
      </c>
      <c r="B7" s="20" t="n"/>
      <c r="C7" s="20" t="n"/>
      <c r="D7" s="21">
        <f>IFERROR(C7/B7,0)</f>
        <v/>
      </c>
      <c r="E7" s="20" t="n"/>
      <c r="F7" s="20" t="n"/>
      <c r="G7" s="20" t="n"/>
      <c r="H7" s="22" t="n"/>
    </row>
    <row r="8" ht="28" customHeight="1">
      <c r="A8" s="19" t="inlineStr">
        <is>
          <t>Semana 5</t>
        </is>
      </c>
      <c r="B8" s="20" t="n"/>
      <c r="C8" s="20" t="n"/>
      <c r="D8" s="21">
        <f>IFERROR(C8/B8,0)</f>
        <v/>
      </c>
      <c r="E8" s="20" t="n"/>
      <c r="F8" s="20" t="n"/>
      <c r="G8" s="20" t="n"/>
      <c r="H8" s="22" t="n"/>
    </row>
    <row r="9" ht="28" customHeight="1">
      <c r="A9" s="19" t="inlineStr">
        <is>
          <t>Semana 6</t>
        </is>
      </c>
      <c r="B9" s="20" t="n"/>
      <c r="C9" s="20" t="n"/>
      <c r="D9" s="21">
        <f>IFERROR(C9/B9,0)</f>
        <v/>
      </c>
      <c r="E9" s="20" t="n"/>
      <c r="F9" s="20" t="n"/>
      <c r="G9" s="20" t="n"/>
      <c r="H9" s="22" t="n"/>
    </row>
    <row r="10" ht="28" customHeight="1">
      <c r="A10" s="19" t="inlineStr">
        <is>
          <t>Semana 7</t>
        </is>
      </c>
      <c r="B10" s="20" t="n"/>
      <c r="C10" s="20" t="n"/>
      <c r="D10" s="21">
        <f>IFERROR(C10/B10,0)</f>
        <v/>
      </c>
      <c r="E10" s="20" t="n"/>
      <c r="F10" s="20" t="n"/>
      <c r="G10" s="20" t="n"/>
      <c r="H10" s="22" t="n"/>
    </row>
    <row r="11" ht="28" customHeight="1">
      <c r="A11" s="19" t="inlineStr">
        <is>
          <t>Semana 8</t>
        </is>
      </c>
      <c r="B11" s="20" t="n"/>
      <c r="C11" s="20" t="n"/>
      <c r="D11" s="21">
        <f>IFERROR(C11/B11,0)</f>
        <v/>
      </c>
      <c r="E11" s="20" t="n"/>
      <c r="F11" s="20" t="n"/>
      <c r="G11" s="20" t="n"/>
      <c r="H11" s="22" t="n"/>
    </row>
    <row r="12" ht="28" customHeight="1">
      <c r="A12" s="23" t="inlineStr">
        <is>
          <t>TOTALES</t>
        </is>
      </c>
      <c r="B12" s="24">
        <f>SUM(B4:B11)</f>
        <v/>
      </c>
      <c r="C12" s="24">
        <f>SUM(C4:C11)</f>
        <v/>
      </c>
      <c r="D12" s="25">
        <f>IFERROR(C12/B12,0)</f>
        <v/>
      </c>
      <c r="E12" s="24">
        <f>SUM(E4:E11)</f>
        <v/>
      </c>
      <c r="F12" s="24">
        <f>SUM(F4:F11)</f>
        <v/>
      </c>
      <c r="G12" s="24">
        <f>SUM(G4:G11)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28" customWidth="1" min="9" max="9"/>
  </cols>
  <sheetData>
    <row r="1" ht="36" customHeight="1">
      <c r="A1" s="1" t="inlineStr">
        <is>
          <t>TRACKER DE ADOPCIÓN DEL EQUIPO</t>
        </is>
      </c>
    </row>
    <row r="2" ht="20" customHeight="1">
      <c r="A2" s="26" t="inlineStr">
        <is>
          <t>Evalúe cada asesor semanalmente. Verde = adopción completa | Amarillo = parcial | Rojo = no usa el sistema</t>
        </is>
      </c>
    </row>
    <row r="3" ht="28" customHeight="1">
      <c r="A3" s="18" t="inlineStr">
        <is>
          <t>ASESOR</t>
        </is>
      </c>
      <c r="B3" s="18" t="inlineStr">
        <is>
          <t>SEM 3</t>
        </is>
      </c>
      <c r="C3" s="18" t="inlineStr">
        <is>
          <t>SEM 4</t>
        </is>
      </c>
      <c r="D3" s="18" t="inlineStr">
        <is>
          <t>SEM 5</t>
        </is>
      </c>
      <c r="E3" s="18" t="inlineStr">
        <is>
          <t>SEM 6</t>
        </is>
      </c>
      <c r="F3" s="18" t="inlineStr">
        <is>
          <t>SEM 7</t>
        </is>
      </c>
      <c r="G3" s="18" t="inlineStr">
        <is>
          <t>SEM 8</t>
        </is>
      </c>
      <c r="H3" s="18" t="inlineStr">
        <is>
          <t>% ADOPCIÓN</t>
        </is>
      </c>
      <c r="I3" s="18" t="inlineStr">
        <is>
          <t>OBSERVACIONES</t>
        </is>
      </c>
    </row>
    <row r="4" ht="26" customHeight="1">
      <c r="A4" s="27" t="inlineStr">
        <is>
          <t>[Asesor 1]</t>
        </is>
      </c>
      <c r="B4" s="28" t="inlineStr">
        <is>
          <t>—</t>
        </is>
      </c>
      <c r="C4" s="28" t="inlineStr">
        <is>
          <t>—</t>
        </is>
      </c>
      <c r="D4" s="28" t="inlineStr">
        <is>
          <t>—</t>
        </is>
      </c>
      <c r="E4" s="28" t="inlineStr">
        <is>
          <t>—</t>
        </is>
      </c>
      <c r="F4" s="28" t="inlineStr">
        <is>
          <t>—</t>
        </is>
      </c>
      <c r="G4" s="28" t="inlineStr">
        <is>
          <t>—</t>
        </is>
      </c>
      <c r="H4" s="29">
        <f>COUNTIF(B4:G4,"VERDE")/6</f>
        <v/>
      </c>
      <c r="I4" s="30" t="n"/>
    </row>
    <row r="5" ht="26" customHeight="1">
      <c r="A5" s="27" t="inlineStr">
        <is>
          <t>[Asesor 2]</t>
        </is>
      </c>
      <c r="B5" s="28" t="inlineStr">
        <is>
          <t>—</t>
        </is>
      </c>
      <c r="C5" s="28" t="inlineStr">
        <is>
          <t>—</t>
        </is>
      </c>
      <c r="D5" s="28" t="inlineStr">
        <is>
          <t>—</t>
        </is>
      </c>
      <c r="E5" s="28" t="inlineStr">
        <is>
          <t>—</t>
        </is>
      </c>
      <c r="F5" s="28" t="inlineStr">
        <is>
          <t>—</t>
        </is>
      </c>
      <c r="G5" s="28" t="inlineStr">
        <is>
          <t>—</t>
        </is>
      </c>
      <c r="H5" s="29">
        <f>COUNTIF(B5:G5,"VERDE")/6</f>
        <v/>
      </c>
      <c r="I5" s="30" t="n"/>
    </row>
    <row r="6" ht="26" customHeight="1">
      <c r="A6" s="27" t="inlineStr">
        <is>
          <t>[Asesor 3]</t>
        </is>
      </c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9">
        <f>COUNTIF(B6:G6,"VERDE")/6</f>
        <v/>
      </c>
      <c r="I6" s="30" t="n"/>
    </row>
    <row r="7" ht="26" customHeight="1">
      <c r="A7" s="27" t="inlineStr">
        <is>
          <t>[Asesor 4]</t>
        </is>
      </c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9">
        <f>COUNTIF(B7:G7,"VERDE")/6</f>
        <v/>
      </c>
      <c r="I7" s="30" t="n"/>
    </row>
    <row r="8" ht="26" customHeight="1">
      <c r="A8" s="27" t="inlineStr">
        <is>
          <t>[Asesor 5]</t>
        </is>
      </c>
      <c r="B8" s="28" t="inlineStr">
        <is>
          <t>—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8" t="inlineStr">
        <is>
          <t>—</t>
        </is>
      </c>
      <c r="G8" s="28" t="inlineStr">
        <is>
          <t>—</t>
        </is>
      </c>
      <c r="H8" s="29">
        <f>COUNTIF(B8:G8,"VERDE")/6</f>
        <v/>
      </c>
      <c r="I8" s="30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" customWidth="1" min="4" max="4"/>
  </cols>
  <sheetData>
    <row r="1" ht="40" customHeight="1">
      <c r="B1" s="31" t="inlineStr">
        <is>
          <t>PROYECCIÓN DE CIERRE DE MES</t>
        </is>
      </c>
    </row>
    <row r="2" ht="20" customHeight="1">
      <c r="B2" s="2" t="inlineStr">
        <is>
          <t>Calcula automáticamente si van a llegar a la meta del mes</t>
        </is>
      </c>
    </row>
    <row r="3" ht="10" customHeight="1"/>
    <row r="4" ht="28" customHeight="1">
      <c r="B4" s="4" t="inlineStr">
        <is>
          <t>INPUTS</t>
        </is>
      </c>
    </row>
    <row r="5" ht="28" customHeight="1">
      <c r="B5" s="6" t="inlineStr">
        <is>
          <t>Meta total del mes (COP)</t>
        </is>
      </c>
      <c r="C5" s="32" t="n"/>
    </row>
    <row r="6" ht="28" customHeight="1">
      <c r="B6" s="6" t="inlineStr">
        <is>
          <t>Días hábiles del mes</t>
        </is>
      </c>
      <c r="C6" s="32" t="n">
        <v>22</v>
      </c>
    </row>
    <row r="7" ht="28" customHeight="1">
      <c r="B7" s="6" t="inlineStr">
        <is>
          <t>Día hábil actual (del 1 al 22)</t>
        </is>
      </c>
      <c r="C7" s="33" t="n"/>
    </row>
    <row r="8" ht="28" customHeight="1">
      <c r="B8" s="6" t="inlineStr">
        <is>
          <t>Ventas realizadas hasta hoy (COP)</t>
        </is>
      </c>
      <c r="C8" s="33" t="n"/>
    </row>
    <row r="9" ht="10" customHeight="1"/>
    <row r="10" ht="28" customHeight="1">
      <c r="B10" s="4" t="inlineStr">
        <is>
          <t>PROYECCIÓN AUTOMÁTICA</t>
        </is>
      </c>
    </row>
    <row r="11" ht="28" customHeight="1">
      <c r="B11" s="6" t="inlineStr">
        <is>
          <t>Ritmo diario actual (COP/día hábil)</t>
        </is>
      </c>
      <c r="C11" s="34">
        <f>IFERROR(C8/C7,0)</f>
        <v/>
      </c>
    </row>
    <row r="12" ht="28" customHeight="1">
      <c r="B12" s="6" t="inlineStr">
        <is>
          <t>Proyección de cierre del mes (COP)</t>
        </is>
      </c>
      <c r="C12" s="35">
        <f>C11*C6</f>
        <v/>
      </c>
    </row>
    <row r="13" ht="28" customHeight="1">
      <c r="B13" s="6" t="inlineStr">
        <is>
          <t>% de avance sobre la meta</t>
        </is>
      </c>
      <c r="C13" s="36">
        <f>IFERROR(C12/C5,0)</f>
        <v/>
      </c>
    </row>
    <row r="14" ht="28" customHeight="1">
      <c r="B14" s="6" t="inlineStr">
        <is>
          <t>¿Van a llegar a la meta?</t>
        </is>
      </c>
      <c r="C14" s="37">
        <f>IF(C13&gt;=0.8,"SÍ — VAN BIEN","NO — REVISAR PLAN")</f>
        <v/>
      </c>
    </row>
    <row r="15" ht="28" customHeight="1">
      <c r="B15" s="6" t="inlineStr">
        <is>
          <t>Días restantes para recuperar si van atrasados</t>
        </is>
      </c>
      <c r="C15" s="38">
        <f>MAX(0,C6-C7)</f>
        <v/>
      </c>
    </row>
    <row r="16" ht="10" customHeight="1"/>
    <row r="17" ht="28" customHeight="1">
      <c r="B17" s="39" t="inlineStr">
        <is>
          <t>ALERTA</t>
        </is>
      </c>
    </row>
    <row r="18" ht="28" customHeight="1">
      <c r="B18" s="40" t="inlineStr">
        <is>
          <t>¡ALERTA! Notifique al dueño de inmediato. Revisar plan de choque con el equipo.</t>
        </is>
      </c>
      <c r="C18" s="41" t="n"/>
    </row>
  </sheetData>
  <mergeCells count="6">
    <mergeCell ref="B2:C2"/>
    <mergeCell ref="B10:C10"/>
    <mergeCell ref="B17:C17"/>
    <mergeCell ref="B18:C18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2026-03-24T21:40:02Z</dcterms:created>
  <dcterms:modified xmlns:dcterms="http://purl.org/dc/terms/" xmlns:xsi="http://www.w3.org/2001/XMLSchema-instance" xsi:type="dcterms:W3CDTF">2026-03-24T21:40:02Z</dcterms:modified>
</cp:coreProperties>
</file>