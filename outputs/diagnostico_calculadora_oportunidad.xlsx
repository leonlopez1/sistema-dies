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Datos de Entrada" sheetId="1" state="visible" r:id="rId1"/>
    <sheet xmlns:r="http://schemas.openxmlformats.org/officeDocument/2006/relationships" name="2 - Calculo de Perdida" sheetId="2" state="visible" r:id="rId2"/>
    <sheet xmlns:r="http://schemas.openxmlformats.org/officeDocument/2006/relationships" name="3 - 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 COP&quot;"/>
    <numFmt numFmtId="166" formatCode="$#,##0&quot; COP&quot;"/>
    <numFmt numFmtId="167" formatCode="0.0&quot; meses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A2B4A"/>
      <sz val="12"/>
    </font>
    <font>
      <name val="Calibri"/>
      <b val="1"/>
      <color rgb="00C9973A"/>
      <sz val="11"/>
    </font>
    <font>
      <name val="Calibri"/>
      <color rgb="00222222"/>
      <sz val="11"/>
    </font>
    <font>
      <name val="Calibri"/>
      <i val="1"/>
      <color rgb="00888888"/>
      <sz val="9"/>
    </font>
    <font>
      <name val="Calibri"/>
      <i val="1"/>
      <color rgb="00FFFFFF"/>
      <sz val="10"/>
    </font>
    <font>
      <name val="Calibri"/>
      <color rgb="00222222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i val="1"/>
      <color rgb="00FFFFFF"/>
      <sz val="12"/>
    </font>
    <font>
      <name val="Calibri"/>
      <b val="1"/>
      <color rgb="00C0392B"/>
      <sz val="24"/>
    </font>
    <font>
      <name val="Calibri"/>
      <i val="1"/>
      <color rgb="00666666"/>
      <sz val="9"/>
    </font>
    <font>
      <name val="Calibri"/>
      <b val="1"/>
      <color rgb="0027AE60"/>
      <sz val="24"/>
    </font>
    <font>
      <name val="Calibri"/>
      <b val="1"/>
      <color rgb="002C3E50"/>
      <sz val="24"/>
    </font>
    <font>
      <name val="Calibri"/>
      <b val="1"/>
      <color rgb="00C9973A"/>
      <sz val="24"/>
    </font>
    <font>
      <name val="Calibri"/>
      <b val="1"/>
      <color rgb="001A6B3A"/>
      <sz val="24"/>
    </font>
    <font>
      <name val="Calibri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C9973A"/>
      </patternFill>
    </fill>
    <fill>
      <patternFill patternType="solid">
        <fgColor rgb="00F0F0F0"/>
      </patternFill>
    </fill>
    <fill>
      <patternFill patternType="solid">
        <fgColor rgb="00FFF9E6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8F8F8"/>
      </patternFill>
    </fill>
    <fill>
      <patternFill patternType="solid">
        <fgColor rgb="002C3E50"/>
      </patternFill>
    </fill>
    <fill>
      <patternFill patternType="solid">
        <fgColor rgb="001A6B3A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9973A"/>
      </left>
      <right style="thin">
        <color rgb="00C9973A"/>
      </right>
      <top style="thin">
        <color rgb="00C9973A"/>
      </top>
      <bottom style="thin">
        <color rgb="00C9973A"/>
      </bottom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thin">
        <color rgb="0027AE60"/>
      </bottom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3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166" fontId="9" fillId="7" borderId="1" applyAlignment="1" pivotButton="0" quotePrefix="0" xfId="0">
      <alignment horizontal="center" vertical="center"/>
    </xf>
    <xf numFmtId="167" fontId="9" fillId="3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166" fontId="13" fillId="8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/>
    </xf>
    <xf numFmtId="166" fontId="15" fillId="8" borderId="4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6" fontId="16" fillId="8" borderId="5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167" fontId="17" fillId="8" borderId="2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166" fontId="18" fillId="8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22" customWidth="1" min="3" max="3"/>
    <col width="18" customWidth="1" min="4" max="4"/>
    <col width="4" customWidth="1" min="5" max="5"/>
  </cols>
  <sheetData>
    <row r="1" ht="40" customHeight="1">
      <c r="B1" s="1" t="inlineStr">
        <is>
          <t>CALCULADORA DE OPORTUNIDAD COMERCIAL</t>
        </is>
      </c>
    </row>
    <row r="2" ht="22" customHeight="1">
      <c r="B2" s="2" t="inlineStr">
        <is>
          <t>Sistema Comercial Operativo | León López | Diagnóstico Pilar 1</t>
        </is>
      </c>
    </row>
    <row r="3" ht="10" customHeight="1"/>
    <row r="4" ht="28" customHeight="1">
      <c r="B4" s="3" t="inlineStr">
        <is>
          <t>DATOS DE ENTRADA — Complete los campos amarillos</t>
        </is>
      </c>
    </row>
    <row r="5" ht="24" customHeight="1">
      <c r="B5" s="4" t="inlineStr">
        <is>
          <t>VOLUMEN DE LEADS</t>
        </is>
      </c>
    </row>
    <row r="6" ht="30" customHeight="1">
      <c r="B6" s="5" t="inlineStr">
        <is>
          <t>Conversaciones nuevas por día (WhatsApp + todos los canales)</t>
        </is>
      </c>
      <c r="C6" s="6" t="n">
        <v>25</v>
      </c>
      <c r="D6" s="7" t="inlineStr">
        <is>
          <t>número entero</t>
        </is>
      </c>
    </row>
    <row r="7" ht="30" customHeight="1">
      <c r="B7" s="5" t="inlineStr">
        <is>
          <t>Días hábiles por mes</t>
        </is>
      </c>
      <c r="C7" s="6" t="n">
        <v>22</v>
      </c>
      <c r="D7" s="7" t="inlineStr">
        <is>
          <t>no modificar</t>
        </is>
      </c>
    </row>
    <row r="8" ht="8" customHeight="1"/>
    <row r="9" ht="24" customHeight="1">
      <c r="B9" s="4" t="inlineStr">
        <is>
          <t>TASA DE CONVERSIÓN</t>
        </is>
      </c>
    </row>
    <row r="10" ht="30" customHeight="1">
      <c r="B10" s="5" t="inlineStr">
        <is>
          <t>Tasa de cierre actual estimada (%)</t>
        </is>
      </c>
      <c r="C10" s="8" t="n">
        <v>0.12</v>
      </c>
      <c r="D10" s="7" t="inlineStr">
        <is>
          <t>ej: 0.12 = 12%</t>
        </is>
      </c>
    </row>
    <row r="11" ht="30" customHeight="1">
      <c r="B11" s="5" t="inlineStr">
        <is>
          <t>Tasa de cierre potencial con sistema (%)</t>
        </is>
      </c>
      <c r="C11" s="8" t="n">
        <v>0.2</v>
      </c>
      <c r="D11" s="7" t="inlineStr">
        <is>
          <t>default 20%, editable</t>
        </is>
      </c>
    </row>
    <row r="12" ht="8" customHeight="1"/>
    <row r="13" ht="24" customHeight="1">
      <c r="B13" s="4" t="inlineStr">
        <is>
          <t>VALOR DEL NEGOCIO</t>
        </is>
      </c>
    </row>
    <row r="14" ht="30" customHeight="1">
      <c r="B14" s="5" t="inlineStr">
        <is>
          <t>Ticket promedio por venta (COP)</t>
        </is>
      </c>
      <c r="C14" s="9" t="n">
        <v>280000</v>
      </c>
      <c r="D14" s="7" t="inlineStr">
        <is>
          <t>valor en pesos</t>
        </is>
      </c>
    </row>
    <row r="15" ht="30" customHeight="1">
      <c r="B15" s="5" t="inlineStr">
        <is>
          <t>Número de asesores comerciales</t>
        </is>
      </c>
      <c r="C15" s="6" t="n">
        <v>3</v>
      </c>
      <c r="D15" s="7" t="inlineStr">
        <is>
          <t>número entero</t>
        </is>
      </c>
    </row>
    <row r="16" ht="8" customHeight="1"/>
    <row r="17" ht="24" customHeight="1">
      <c r="B17" s="4" t="inlineStr">
        <is>
          <t>EFICIENCIA OPERATIVA</t>
        </is>
      </c>
    </row>
    <row r="18" ht="30" customHeight="1">
      <c r="B18" s="5" t="inlineStr">
        <is>
          <t>Tiempo promedio de respuesta actual (minutos)</t>
        </is>
      </c>
      <c r="C18" s="6" t="n">
        <v>45</v>
      </c>
      <c r="D18" s="7" t="inlineStr">
        <is>
          <t>ej: 45 = 45 minutos</t>
        </is>
      </c>
    </row>
    <row r="19" ht="30" customHeight="1">
      <c r="B19" s="5" t="inlineStr">
        <is>
          <t>% de leads sin seguimiento después del primer contacto</t>
        </is>
      </c>
      <c r="C19" s="8" t="n">
        <v>0.3</v>
      </c>
      <c r="D19" s="7" t="inlineStr">
        <is>
          <t>default 30%, editable</t>
        </is>
      </c>
    </row>
    <row r="20" ht="30" customHeight="1">
      <c r="B20" s="5" t="inlineStr">
        <is>
          <t>% de pérdida por falta de métricas individuales</t>
        </is>
      </c>
      <c r="C20" s="8" t="n">
        <v>0.08</v>
      </c>
      <c r="D20" s="7" t="inlineStr">
        <is>
          <t>default 8%, editable</t>
        </is>
      </c>
    </row>
    <row r="22">
      <c r="B22" s="10" t="inlineStr">
        <is>
          <t>NOTA: Los campos en amarillo son editables. El resto se calcula automáticamente en la Hoja 2.</t>
        </is>
      </c>
    </row>
  </sheetData>
  <mergeCells count="8">
    <mergeCell ref="B5:D5"/>
    <mergeCell ref="B1:D1"/>
    <mergeCell ref="B22:D22"/>
    <mergeCell ref="B4:D4"/>
    <mergeCell ref="B17:D17"/>
    <mergeCell ref="B9:D9"/>
    <mergeCell ref="B13:D1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4" customWidth="1" min="3" max="3"/>
    <col width="4" customWidth="1" min="4" max="4"/>
  </cols>
  <sheetData>
    <row r="1" ht="40" customHeight="1">
      <c r="B1" s="1" t="inlineStr">
        <is>
          <t>CÁLCULO DE PÉRDIDA MENSUAL Y OPORTUNIDAD</t>
        </is>
      </c>
    </row>
    <row r="2" ht="20" customHeight="1">
      <c r="B2" s="11" t="inlineStr">
        <is>
          <t>Los valores se calculan automáticamente desde los datos de entrada</t>
        </is>
      </c>
    </row>
    <row r="3" ht="10" customHeight="1"/>
    <row r="4" ht="26" customHeight="1">
      <c r="B4" s="4" t="inlineStr">
        <is>
          <t>PÉRDIDA POR TIEMPOS DE RESPUESTA LENTOS</t>
        </is>
      </c>
    </row>
    <row r="5" ht="26" customHeight="1">
      <c r="B5" s="12" t="inlineStr">
        <is>
          <t>Conversaciones totales al mes</t>
        </is>
      </c>
      <c r="C5" s="13">
        <f>'1 - Datos de Entrada'!C6*'1 - Datos de Entrada'!C7</f>
        <v/>
      </c>
    </row>
    <row r="6" ht="26" customHeight="1">
      <c r="B6" s="12" t="inlineStr">
        <is>
          <t>% leads perdidos por respuesta lenta (&gt;30 min = -40% conversión)</t>
        </is>
      </c>
      <c r="C6" s="14" t="n">
        <v>0.4</v>
      </c>
    </row>
    <row r="7" ht="26" customHeight="1">
      <c r="B7" s="12" t="inlineStr">
        <is>
          <t>Conversaciones perdidas por tiempo lento (estimado)</t>
        </is>
      </c>
      <c r="C7" s="15">
        <f>C5*C6*'1 - Datos de Entrada'!C10</f>
        <v/>
      </c>
    </row>
    <row r="8" ht="32" customHeight="1">
      <c r="B8" s="12" t="inlineStr">
        <is>
          <t>Valor perdido por tiempos lentos (COP/mes)</t>
        </is>
      </c>
      <c r="C8" s="16">
        <f>C7*'1 - Datos de Entrada'!C14</f>
        <v/>
      </c>
    </row>
    <row r="9" ht="26" customHeight="1">
      <c r="B9" s="4" t="inlineStr">
        <is>
          <t>PÉRDIDA POR FALTA DE SEGUIMIENTO</t>
        </is>
      </c>
    </row>
    <row r="10" ht="26" customHeight="1">
      <c r="B10" s="12" t="inlineStr">
        <is>
          <t>% leads sin seguimiento (del diagnóstico)</t>
        </is>
      </c>
      <c r="C10" s="13">
        <f>'1 - Datos de Entrada'!C19</f>
        <v/>
      </c>
    </row>
    <row r="11" ht="26" customHeight="1">
      <c r="B11" s="12" t="inlineStr">
        <is>
          <t>Conversaciones sin seguimiento al mes</t>
        </is>
      </c>
      <c r="C11" s="15">
        <f>C5*C10*'1 - Datos de Entrada'!C10</f>
        <v/>
      </c>
    </row>
    <row r="12" ht="32" customHeight="1">
      <c r="B12" s="12" t="inlineStr">
        <is>
          <t>Valor perdido por falta de seguimiento (COP/mes)</t>
        </is>
      </c>
      <c r="C12" s="16">
        <f>C11*'1 - Datos de Entrada'!C14</f>
        <v/>
      </c>
    </row>
    <row r="13" ht="26" customHeight="1">
      <c r="B13" s="4" t="inlineStr">
        <is>
          <t>PÉRDIDA POR FALTA DE MÉTRICAS Y VISIBILIDAD</t>
        </is>
      </c>
    </row>
    <row r="14" ht="26" customHeight="1">
      <c r="B14" s="12" t="inlineStr">
        <is>
          <t>% pérdida estimada por falta de métricas</t>
        </is>
      </c>
      <c r="C14" s="13">
        <f>'1 - Datos de Entrada'!C20</f>
        <v/>
      </c>
    </row>
    <row r="15" ht="32" customHeight="1">
      <c r="B15" s="12" t="inlineStr">
        <is>
          <t>Valor perdido por ceguera gerencial (COP/mes)</t>
        </is>
      </c>
      <c r="C15" s="16">
        <f>C5*'1 - Datos de Entrada'!C10*C14*'1 - Datos de Entrada'!C14</f>
        <v/>
      </c>
    </row>
    <row r="16" ht="26" customHeight="1">
      <c r="B16" s="17" t="inlineStr">
        <is>
          <t>RESUMEN DE OPORTUNIDAD</t>
        </is>
      </c>
    </row>
    <row r="17" ht="32" customHeight="1">
      <c r="B17" s="12" t="inlineStr">
        <is>
          <t>TOTAL PÉRDIDA MENSUAL ESTIMADA (COP)</t>
        </is>
      </c>
      <c r="C17" s="16">
        <f>C8+C12+C15</f>
        <v/>
      </c>
    </row>
    <row r="18" ht="32" customHeight="1">
      <c r="B18" s="12" t="inlineStr">
        <is>
          <t>POTENCIAL DE RECUPERACIÓN CON SISTEMA (COP)</t>
        </is>
      </c>
      <c r="C18" s="18">
        <f>C17*0.65</f>
        <v/>
      </c>
    </row>
    <row r="19" ht="26" customHeight="1">
      <c r="B19" s="12" t="inlineStr">
        <is>
          <t>Inversión total del sistema (COP)</t>
        </is>
      </c>
      <c r="C19" s="13" t="n">
        <v>12000000</v>
      </c>
    </row>
    <row r="20" ht="32" customHeight="1">
      <c r="B20" s="12" t="inlineStr">
        <is>
          <t>ROI: Meses para recuperar la inversión</t>
        </is>
      </c>
      <c r="C20" s="19">
        <f>IFERROR(C19/C18,"N/A")</f>
        <v/>
      </c>
    </row>
    <row r="21" ht="32" customHeight="1">
      <c r="B21" s="12" t="inlineStr">
        <is>
          <t>Facturación potencial anual adicional (COP)</t>
        </is>
      </c>
      <c r="C21" s="18">
        <f>C18*12</f>
        <v/>
      </c>
    </row>
  </sheetData>
  <mergeCells count="6">
    <mergeCell ref="B13:C13"/>
    <mergeCell ref="B2:C2"/>
    <mergeCell ref="B16:C16"/>
    <mergeCell ref="B9:C9"/>
    <mergeCell ref="B1:C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8" customWidth="1" min="3" max="3"/>
    <col width="3" customWidth="1" min="4" max="4"/>
  </cols>
  <sheetData>
    <row r="1" ht="50" customHeight="1">
      <c r="B1" s="20" t="inlineStr">
        <is>
          <t>RESUMEN EJECUTIVO</t>
        </is>
      </c>
    </row>
    <row r="2" ht="24" customHeight="1">
      <c r="B2" s="21" t="inlineStr">
        <is>
          <t>Diagnóstico Comercial | Costo de Oportunidad</t>
        </is>
      </c>
    </row>
    <row r="3" ht="16" customHeight="1"/>
    <row r="4" ht="28" customHeight="1">
      <c r="B4" s="22" t="inlineStr">
        <is>
          <t>PÉRDIDA MENSUAL
ESTIMADA</t>
        </is>
      </c>
    </row>
    <row r="5" ht="42" customHeight="1">
      <c r="B5" s="23">
        <f>'2 - Calculo de Perdida'!C17</f>
        <v/>
      </c>
    </row>
    <row r="6" ht="22" customHeight="1">
      <c r="B6" s="24" t="inlineStr">
        <is>
          <t>El dinero que se pierde cada mes por ineficiencias en la operación comercial</t>
        </is>
      </c>
    </row>
    <row r="7" ht="12" customHeight="1"/>
    <row r="8" ht="28" customHeight="1">
      <c r="B8" s="25" t="inlineStr">
        <is>
          <t>POTENCIAL DE
RECUPERACIÓN</t>
        </is>
      </c>
    </row>
    <row r="9" ht="42" customHeight="1">
      <c r="B9" s="26">
        <f>'2 - Calculo de Perdida'!C18</f>
        <v/>
      </c>
    </row>
    <row r="10" ht="22" customHeight="1">
      <c r="B10" s="24" t="inlineStr">
        <is>
          <t>Lo que el sistema puede recuperar en los primeros meses de operación</t>
        </is>
      </c>
    </row>
    <row r="11" ht="12" customHeight="1"/>
    <row r="12" ht="28" customHeight="1">
      <c r="B12" s="27" t="inlineStr">
        <is>
          <t>INVERSIÓN
DEL SISTEMA</t>
        </is>
      </c>
    </row>
    <row r="13" ht="42" customHeight="1">
      <c r="B13" s="28" t="n">
        <v>12000000</v>
      </c>
    </row>
    <row r="14" ht="22" customHeight="1">
      <c r="B14" s="24" t="inlineStr">
        <is>
          <t>Inversión total en la implementación completa del sistema</t>
        </is>
      </c>
    </row>
    <row r="15" ht="12" customHeight="1"/>
    <row r="16" ht="28" customHeight="1">
      <c r="B16" s="29" t="inlineStr">
        <is>
          <t>ROI
(MESES PARA RECUPERAR)</t>
        </is>
      </c>
    </row>
    <row r="17" ht="42" customHeight="1">
      <c r="B17" s="30">
        <f>'2 - Calculo de Perdida'!C20</f>
        <v/>
      </c>
    </row>
    <row r="18" ht="22" customHeight="1">
      <c r="B18" s="24" t="inlineStr">
        <is>
          <t>En cuántos meses la inversión se paga sola</t>
        </is>
      </c>
    </row>
    <row r="19" ht="12" customHeight="1"/>
    <row r="20" ht="28" customHeight="1">
      <c r="B20" s="31" t="inlineStr">
        <is>
          <t>FACTURACIÓN
ADICIONAL ANUAL</t>
        </is>
      </c>
    </row>
    <row r="21" ht="42" customHeight="1">
      <c r="B21" s="32">
        <f>'2 - Calculo de Perdida'!C21</f>
        <v/>
      </c>
    </row>
    <row r="22" ht="22" customHeight="1">
      <c r="B22" s="24" t="inlineStr">
        <is>
          <t>Proyección de ingresos adicionales en 12 meses con el sistema activo</t>
        </is>
      </c>
    </row>
    <row r="23" ht="12" customHeight="1"/>
    <row r="24" ht="28" customHeight="1">
      <c r="B24" s="33" t="inlineStr">
        <is>
          <t>Proyección basada en datos del diagnóstico. Los resultados reales pueden variar según la adopción del equipo.</t>
        </is>
      </c>
    </row>
    <row r="26" ht="20" customHeight="1">
      <c r="B26" s="34" t="inlineStr">
        <is>
          <t>Sistema Comercial Operativo | León López Consultoría | Marzo 2026</t>
        </is>
      </c>
    </row>
  </sheetData>
  <mergeCells count="19">
    <mergeCell ref="B16:C16"/>
    <mergeCell ref="B22:C22"/>
    <mergeCell ref="B18:C18"/>
    <mergeCell ref="B12:C12"/>
    <mergeCell ref="B21:C21"/>
    <mergeCell ref="B2:C2"/>
    <mergeCell ref="B14:C14"/>
    <mergeCell ref="B17:C17"/>
    <mergeCell ref="B1:C1"/>
    <mergeCell ref="B8:C8"/>
    <mergeCell ref="B13:C13"/>
    <mergeCell ref="B10:C10"/>
    <mergeCell ref="B9:C9"/>
    <mergeCell ref="B6:C6"/>
    <mergeCell ref="B24:C24"/>
    <mergeCell ref="B5:C5"/>
    <mergeCell ref="B20:C20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2026-03-24T21:20:29Z</dcterms:created>
  <dcterms:modified xmlns:dcterms="http://purl.org/dc/terms/" xmlns:xsi="http://www.w3.org/2001/XMLSchema-instance" xsi:type="dcterms:W3CDTF">2026-03-24T21:20:29Z</dcterms:modified>
</cp:coreProperties>
</file>